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m\Downloads\"/>
    </mc:Choice>
  </mc:AlternateContent>
  <xr:revisionPtr revIDLastSave="0" documentId="13_ncr:1_{2A6E9236-4F09-4777-B852-AE3DDA4137D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y12 Spot Check" sheetId="1" r:id="rId1"/>
  </sheets>
  <calcPr calcId="191029"/>
</workbook>
</file>

<file path=xl/calcChain.xml><?xml version="1.0" encoding="utf-8"?>
<calcChain xmlns="http://schemas.openxmlformats.org/spreadsheetml/2006/main">
  <c r="J4" i="1" l="1"/>
  <c r="L4" i="1" s="1"/>
  <c r="E4" i="1"/>
  <c r="G4" i="1" s="1"/>
  <c r="J3" i="1"/>
  <c r="L3" i="1" s="1"/>
  <c r="E3" i="1"/>
  <c r="G3" i="1" s="1"/>
  <c r="J2" i="1"/>
  <c r="L2" i="1" s="1"/>
  <c r="E2" i="1"/>
  <c r="G2" i="1" s="1"/>
</calcChain>
</file>

<file path=xl/sharedStrings.xml><?xml version="1.0" encoding="utf-8"?>
<sst xmlns="http://schemas.openxmlformats.org/spreadsheetml/2006/main" count="15" uniqueCount="15">
  <si>
    <t>Company</t>
  </si>
  <si>
    <t>Net Profit</t>
  </si>
  <si>
    <t>Equity Capital</t>
  </si>
  <si>
    <t>Reserves</t>
  </si>
  <si>
    <t>Manual ROE</t>
  </si>
  <si>
    <t>DB ROE</t>
  </si>
  <si>
    <t>ROE Difference</t>
  </si>
  <si>
    <t>Start Sales 2019</t>
  </si>
  <si>
    <t>End Sales 2024</t>
  </si>
  <si>
    <t>Manual CAGR</t>
  </si>
  <si>
    <t>DB CAGR</t>
  </si>
  <si>
    <t>CAGR Difference</t>
  </si>
  <si>
    <t>ABB</t>
  </si>
  <si>
    <t>ADANIENT</t>
  </si>
  <si>
    <t>ADANIPORTS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</si>
</sst>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3" customWidth="1"/>
    <col min="3" max="3" width="17" customWidth="1"/>
    <col min="4" max="4" width="11" customWidth="1"/>
    <col min="5" max="5" width="20" customWidth="1"/>
    <col min="6" max="6" width="9" customWidth="1"/>
    <col min="7" max="7" width="17" customWidth="1"/>
    <col min="8" max="8" width="19" customWidth="1"/>
    <col min="9" max="9" width="17" customWidth="1"/>
    <col min="10" max="10" width="25" customWidth="1"/>
    <col min="11" max="11" width="10" customWidth="1"/>
    <col min="12" max="12" width="18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1201</v>
      </c>
      <c r="C2">
        <v>21</v>
      </c>
      <c r="D2">
        <v>3500</v>
      </c>
      <c r="E2" s="2">
        <f>(B2/(C2+D2))*100</f>
        <v>34.109627946606082</v>
      </c>
      <c r="F2" s="2">
        <v>34.11</v>
      </c>
      <c r="G2" s="2">
        <f>ABS(E2-F2)</f>
        <v>3.720533939173265E-4</v>
      </c>
      <c r="H2">
        <v>3679</v>
      </c>
      <c r="I2">
        <v>5849</v>
      </c>
      <c r="J2" s="2">
        <f>((I2/H2)^(1/5)-1)*100</f>
        <v>9.7161012772901678</v>
      </c>
      <c r="K2" s="2">
        <v>9.7200000000000006</v>
      </c>
      <c r="L2" s="2">
        <f>ABS(J2-K2)</f>
        <v>3.8987227098328248E-3</v>
      </c>
    </row>
    <row r="3" spans="1:12" x14ac:dyDescent="0.3">
      <c r="A3" t="s">
        <v>13</v>
      </c>
      <c r="B3">
        <v>3335</v>
      </c>
      <c r="C3">
        <v>114</v>
      </c>
      <c r="D3">
        <v>41782</v>
      </c>
      <c r="E3" s="2">
        <f>(B3/(C3+D3))*100</f>
        <v>7.9601871300362808</v>
      </c>
      <c r="F3" s="2">
        <v>7.96</v>
      </c>
      <c r="G3" s="2">
        <f>ABS(E3-F3)</f>
        <v>1.871300362807915E-4</v>
      </c>
      <c r="H3">
        <v>40379</v>
      </c>
      <c r="I3">
        <v>96421</v>
      </c>
      <c r="J3" s="2">
        <f>((I3/H3)^(1/5)-1)*100</f>
        <v>19.015414753081238</v>
      </c>
      <c r="K3" s="2">
        <v>19.02</v>
      </c>
      <c r="L3" s="2">
        <f>ABS(J3-K3)</f>
        <v>4.5852469187614986E-3</v>
      </c>
    </row>
    <row r="4" spans="1:12" x14ac:dyDescent="0.3">
      <c r="A4" t="s">
        <v>14</v>
      </c>
      <c r="B4">
        <v>8104</v>
      </c>
      <c r="C4">
        <v>432</v>
      </c>
      <c r="D4">
        <v>56744</v>
      </c>
      <c r="E4" s="2">
        <f>(B4/(C4+D4))*100</f>
        <v>14.173779208059326</v>
      </c>
      <c r="F4" s="2">
        <v>14.17</v>
      </c>
      <c r="G4" s="2">
        <f>ABS(E4-F4)</f>
        <v>3.7792080593259669E-3</v>
      </c>
      <c r="H4">
        <v>10925</v>
      </c>
      <c r="I4">
        <v>26711</v>
      </c>
      <c r="J4" s="2">
        <f>((I4/H4)^(1/5)-1)*100</f>
        <v>19.578675952456969</v>
      </c>
      <c r="K4" s="2">
        <v>19.579999999999998</v>
      </c>
      <c r="L4" s="2">
        <f>ABS(J4-K4)</f>
        <v>1.3240475430293941E-3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Day12 Spot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ramakrishna aitha</cp:lastModifiedBy>
  <dcterms:created xsi:type="dcterms:W3CDTF">2026-07-03T06:05:09Z</dcterms:created>
  <dcterms:modified xsi:type="dcterms:W3CDTF">2026-07-03T06:09:22Z</dcterms:modified>
</cp:coreProperties>
</file>